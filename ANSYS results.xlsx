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mar0-my.sharepoint.com/personal/rkhadka1_lamar_edu/Documents/Research/Roshanbeam3/"/>
    </mc:Choice>
  </mc:AlternateContent>
  <xr:revisionPtr revIDLastSave="42" documentId="8_{096F52A1-AB17-43FD-98A1-4E318D5E24D7}" xr6:coauthVersionLast="47" xr6:coauthVersionMax="47" xr10:uidLastSave="{8D9BE337-8FCB-4EF1-AD63-8049BB480086}"/>
  <bookViews>
    <workbookView xWindow="28680" yWindow="-120" windowWidth="29040" windowHeight="15720" xr2:uid="{3A6CD4D4-141C-4B75-B80E-49EFD92A8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P8" i="1"/>
  <c r="Q8" i="1"/>
  <c r="R8" i="1"/>
  <c r="O8" i="1"/>
  <c r="O19" i="1"/>
  <c r="C19" i="1"/>
  <c r="D7" i="1"/>
  <c r="F7" i="1"/>
  <c r="I7" i="1"/>
  <c r="L7" i="1"/>
  <c r="Q7" i="1"/>
  <c r="R7" i="1"/>
  <c r="C7" i="1"/>
  <c r="I18" i="1"/>
  <c r="I19" i="1" s="1"/>
  <c r="O18" i="1"/>
  <c r="C18" i="1"/>
  <c r="D6" i="1"/>
  <c r="E6" i="1"/>
  <c r="E7" i="1" s="1"/>
  <c r="F6" i="1"/>
  <c r="I6" i="1"/>
  <c r="J6" i="1"/>
  <c r="J7" i="1" s="1"/>
  <c r="K6" i="1"/>
  <c r="K7" i="1" s="1"/>
  <c r="L6" i="1"/>
  <c r="O6" i="1"/>
  <c r="O7" i="1" s="1"/>
  <c r="P6" i="1"/>
  <c r="P7" i="1" s="1"/>
  <c r="Q6" i="1"/>
  <c r="R6" i="1"/>
  <c r="C6" i="1"/>
</calcChain>
</file>

<file path=xl/sharedStrings.xml><?xml version="1.0" encoding="utf-8"?>
<sst xmlns="http://schemas.openxmlformats.org/spreadsheetml/2006/main" count="45" uniqueCount="15">
  <si>
    <t>No magnets</t>
  </si>
  <si>
    <t>frequency</t>
  </si>
  <si>
    <t>0.2g</t>
  </si>
  <si>
    <t>0.3g</t>
  </si>
  <si>
    <t>0.4g</t>
  </si>
  <si>
    <t>0.45g</t>
  </si>
  <si>
    <t>Experimental</t>
  </si>
  <si>
    <t>ANSYS sim.</t>
  </si>
  <si>
    <t>Frequency</t>
  </si>
  <si>
    <t>Phi_tip</t>
  </si>
  <si>
    <t>Phi_mid</t>
  </si>
  <si>
    <t>2 magnets</t>
  </si>
  <si>
    <t>4 magnets</t>
  </si>
  <si>
    <t>wn</t>
  </si>
  <si>
    <t>2zwn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</si>
</sst>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96F6-8B36-4E17-8590-04180B405DC0}">
  <dimension ref="B2:R20"/>
  <sheetViews>
    <sheetView tabSelected="1" workbookViewId="0">
      <selection activeCell="O21" sqref="O21"/>
    </sheetView>
  </sheetViews>
  <sheetFormatPr defaultRowHeight="15" x14ac:dyDescent="0.25"/>
  <cols>
    <col min="2" max="2" width="11.5703125" bestFit="1" customWidth="1"/>
    <col min="8" max="8" width="13.140625" bestFit="1" customWidth="1"/>
    <col min="9" max="9" width="12.42578125" bestFit="1" customWidth="1"/>
    <col min="14" max="14" width="13.140625" bestFit="1" customWidth="1"/>
  </cols>
  <sheetData>
    <row r="2" spans="2:18" x14ac:dyDescent="0.25">
      <c r="F2" s="1"/>
    </row>
    <row r="3" spans="2:18" x14ac:dyDescent="0.25">
      <c r="B3" s="1" t="s">
        <v>6</v>
      </c>
      <c r="H3" s="1" t="s">
        <v>6</v>
      </c>
      <c r="N3" s="1" t="s">
        <v>6</v>
      </c>
    </row>
    <row r="4" spans="2:18" x14ac:dyDescent="0.25">
      <c r="B4" t="s">
        <v>0</v>
      </c>
      <c r="C4" t="s">
        <v>2</v>
      </c>
      <c r="D4" t="s">
        <v>3</v>
      </c>
      <c r="E4" t="s">
        <v>4</v>
      </c>
      <c r="F4" t="s">
        <v>5</v>
      </c>
      <c r="H4" t="s">
        <v>11</v>
      </c>
      <c r="I4" t="s">
        <v>2</v>
      </c>
      <c r="J4" t="s">
        <v>3</v>
      </c>
      <c r="K4" t="s">
        <v>4</v>
      </c>
      <c r="L4" t="s">
        <v>5</v>
      </c>
      <c r="N4" t="s">
        <v>12</v>
      </c>
      <c r="O4" t="s">
        <v>2</v>
      </c>
      <c r="P4" t="s">
        <v>3</v>
      </c>
      <c r="Q4" t="s">
        <v>4</v>
      </c>
      <c r="R4" t="s">
        <v>5</v>
      </c>
    </row>
    <row r="5" spans="2:18" x14ac:dyDescent="0.25">
      <c r="B5" t="s">
        <v>1</v>
      </c>
      <c r="C5">
        <v>35.590000000000003</v>
      </c>
      <c r="D5">
        <v>35.51</v>
      </c>
      <c r="E5">
        <v>35.53</v>
      </c>
      <c r="F5">
        <v>35.479999999999997</v>
      </c>
      <c r="H5" t="s">
        <v>1</v>
      </c>
      <c r="I5">
        <v>31.48</v>
      </c>
      <c r="J5">
        <v>31.48</v>
      </c>
      <c r="K5">
        <v>31.48</v>
      </c>
      <c r="L5">
        <v>31.38</v>
      </c>
      <c r="N5" t="s">
        <v>1</v>
      </c>
      <c r="O5">
        <v>28.78</v>
      </c>
      <c r="P5">
        <v>28.74</v>
      </c>
      <c r="Q5">
        <v>28.71</v>
      </c>
      <c r="R5">
        <v>28.71</v>
      </c>
    </row>
    <row r="6" spans="2:18" x14ac:dyDescent="0.25">
      <c r="B6" s="1" t="s">
        <v>13</v>
      </c>
      <c r="C6">
        <f>2*PI()*C5</f>
        <v>223.61856508252149</v>
      </c>
      <c r="D6">
        <f t="shared" ref="D6:R6" si="0">2*PI()*D5</f>
        <v>223.11591025794709</v>
      </c>
      <c r="E6">
        <f t="shared" si="0"/>
        <v>223.24157396409072</v>
      </c>
      <c r="F6">
        <f t="shared" si="0"/>
        <v>222.9274146987317</v>
      </c>
      <c r="H6" s="1" t="s">
        <v>13</v>
      </c>
      <c r="I6">
        <f t="shared" si="0"/>
        <v>197.79467347001338</v>
      </c>
      <c r="J6">
        <f t="shared" si="0"/>
        <v>197.79467347001338</v>
      </c>
      <c r="K6">
        <f t="shared" si="0"/>
        <v>197.79467347001338</v>
      </c>
      <c r="L6">
        <f t="shared" si="0"/>
        <v>197.16635493929542</v>
      </c>
      <c r="N6" s="1" t="s">
        <v>13</v>
      </c>
      <c r="O6">
        <f t="shared" si="0"/>
        <v>180.83007314062849</v>
      </c>
      <c r="P6">
        <f t="shared" si="0"/>
        <v>180.57874572834129</v>
      </c>
      <c r="Q6">
        <f t="shared" si="0"/>
        <v>180.39025016912592</v>
      </c>
      <c r="R6">
        <f t="shared" si="0"/>
        <v>180.39025016912592</v>
      </c>
    </row>
    <row r="7" spans="2:18" x14ac:dyDescent="0.25">
      <c r="B7" s="1" t="s">
        <v>14</v>
      </c>
      <c r="C7">
        <f>2*0.01*C6</f>
        <v>4.4723713016504298</v>
      </c>
      <c r="D7">
        <f t="shared" ref="D7:R7" si="1">2*0.01*D6</f>
        <v>4.4623182051589421</v>
      </c>
      <c r="E7">
        <f t="shared" si="1"/>
        <v>4.4648314792818145</v>
      </c>
      <c r="F7">
        <f t="shared" si="1"/>
        <v>4.4585482939746344</v>
      </c>
      <c r="H7" s="1" t="s">
        <v>14</v>
      </c>
      <c r="I7">
        <f t="shared" si="1"/>
        <v>3.9558934694002676</v>
      </c>
      <c r="J7">
        <f t="shared" si="1"/>
        <v>3.9558934694002676</v>
      </c>
      <c r="K7">
        <f t="shared" si="1"/>
        <v>3.9558934694002676</v>
      </c>
      <c r="L7">
        <f t="shared" si="1"/>
        <v>3.9433270987859084</v>
      </c>
      <c r="N7" s="1" t="s">
        <v>14</v>
      </c>
      <c r="O7">
        <f t="shared" si="1"/>
        <v>3.6166014628125698</v>
      </c>
      <c r="P7">
        <f t="shared" si="1"/>
        <v>3.6115749145668259</v>
      </c>
      <c r="Q7">
        <f t="shared" si="1"/>
        <v>3.6078050033825186</v>
      </c>
      <c r="R7">
        <f t="shared" si="1"/>
        <v>3.6078050033825186</v>
      </c>
    </row>
    <row r="8" spans="2:18" x14ac:dyDescent="0.25">
      <c r="O8">
        <f>2*O6*0.006</f>
        <v>2.1699608776875419</v>
      </c>
      <c r="P8">
        <f t="shared" ref="P8:R8" si="2">2*P6*0.006</f>
        <v>2.1669449487400954</v>
      </c>
      <c r="Q8">
        <f t="shared" si="2"/>
        <v>2.1646830020295109</v>
      </c>
      <c r="R8">
        <f t="shared" si="2"/>
        <v>2.1646830020295109</v>
      </c>
    </row>
    <row r="14" spans="2:18" x14ac:dyDescent="0.25">
      <c r="C14" s="1" t="s">
        <v>7</v>
      </c>
      <c r="I14" s="1" t="s">
        <v>7</v>
      </c>
      <c r="O14" s="1" t="s">
        <v>7</v>
      </c>
    </row>
    <row r="15" spans="2:18" x14ac:dyDescent="0.25">
      <c r="C15" t="s">
        <v>8</v>
      </c>
      <c r="D15" t="s">
        <v>9</v>
      </c>
      <c r="E15" t="s">
        <v>10</v>
      </c>
      <c r="I15" t="s">
        <v>8</v>
      </c>
      <c r="J15" t="s">
        <v>9</v>
      </c>
      <c r="K15" t="s">
        <v>10</v>
      </c>
      <c r="O15" t="s">
        <v>8</v>
      </c>
      <c r="P15" t="s">
        <v>9</v>
      </c>
      <c r="Q15" t="s">
        <v>10</v>
      </c>
    </row>
    <row r="16" spans="2:18" x14ac:dyDescent="0.25">
      <c r="C16">
        <v>35.631500000000003</v>
      </c>
      <c r="D16">
        <v>7.2012</v>
      </c>
      <c r="E16">
        <v>1.4753000000000001</v>
      </c>
      <c r="I16">
        <v>31.318999999999999</v>
      </c>
      <c r="J16">
        <v>6.3335999999999997</v>
      </c>
      <c r="K16">
        <v>1.2934000000000001</v>
      </c>
      <c r="O16">
        <v>28.268799999999999</v>
      </c>
      <c r="P16">
        <v>5.7188999999999997</v>
      </c>
      <c r="Q16">
        <v>1.1655</v>
      </c>
    </row>
    <row r="17" spans="2:17" x14ac:dyDescent="0.25">
      <c r="C17">
        <v>223.16</v>
      </c>
      <c r="D17">
        <v>7.1981000000000002</v>
      </c>
      <c r="E17">
        <v>-4.7115999999999998</v>
      </c>
      <c r="I17">
        <v>222.77799999999999</v>
      </c>
      <c r="J17">
        <v>6.9766000000000004</v>
      </c>
      <c r="K17">
        <v>-4.7477999999999998</v>
      </c>
      <c r="O17">
        <v>222.53989999999999</v>
      </c>
      <c r="P17">
        <v>6.8385999999999996</v>
      </c>
      <c r="Q17">
        <v>-4.7702999999999998</v>
      </c>
    </row>
    <row r="18" spans="2:17" x14ac:dyDescent="0.25">
      <c r="B18" s="1" t="s">
        <v>13</v>
      </c>
      <c r="C18">
        <f>2*PI()*C17</f>
        <v>1402.1556331501965</v>
      </c>
      <c r="H18" s="1" t="s">
        <v>13</v>
      </c>
      <c r="I18">
        <f t="shared" ref="D18:Q18" si="3">2*PI()*I17</f>
        <v>1399.7554563628539</v>
      </c>
      <c r="N18" s="1" t="s">
        <v>13</v>
      </c>
      <c r="O18">
        <f t="shared" si="3"/>
        <v>1398.2594299412144</v>
      </c>
    </row>
    <row r="19" spans="2:17" x14ac:dyDescent="0.25">
      <c r="B19" s="1" t="s">
        <v>14</v>
      </c>
      <c r="C19">
        <f>2*0.01*C18</f>
        <v>28.043112663003932</v>
      </c>
      <c r="H19" s="1" t="s">
        <v>14</v>
      </c>
      <c r="I19">
        <f>2*0.01*I18</f>
        <v>27.995109127257081</v>
      </c>
      <c r="N19" s="1" t="s">
        <v>14</v>
      </c>
      <c r="O19">
        <f>2*0.01*O18</f>
        <v>27.965188598824287</v>
      </c>
    </row>
    <row r="20" spans="2:17" x14ac:dyDescent="0.25">
      <c r="O20">
        <f>2*0.006*O18</f>
        <v>16.779113159294575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Khadka</dc:creator>
  <cp:lastModifiedBy>Roshan Khadka</cp:lastModifiedBy>
  <dcterms:created xsi:type="dcterms:W3CDTF">2026-04-20T19:15:02Z</dcterms:created>
  <dcterms:modified xsi:type="dcterms:W3CDTF">2026-04-21T18:31:02Z</dcterms:modified>
</cp:coreProperties>
</file>